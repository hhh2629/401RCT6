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<sst xmlns="http://schemas.openxmlformats.org/spreadsheetml/2006/main" count="137" uniqueCount="116">
  <si>
    <t>F401RC</t>
  </si>
  <si>
    <t>startup_stm32f401xc.o</t>
  </si>
  <si>
    <t>usart_idel_config.o</t>
  </si>
  <si>
    <t>usart.o</t>
  </si>
  <si>
    <t>spi.o</t>
  </si>
  <si>
    <t>st7789.o</t>
  </si>
  <si>
    <t>i2c.o</t>
  </si>
  <si>
    <t>c_w.l</t>
  </si>
  <si>
    <t>libspace.o</t>
  </si>
  <si>
    <t>tim.o</t>
  </si>
  <si>
    <t>stm32f4xx_hal.o</t>
  </si>
  <si>
    <t>system_stm32f4xx.o</t>
  </si>
  <si>
    <t>w25qxx.o</t>
  </si>
  <si>
    <t>stm32f4xx_hal_i2c.o</t>
  </si>
  <si>
    <t>stm32f4xx_hal_uart.o</t>
  </si>
  <si>
    <t>btod.o</t>
  </si>
  <si>
    <t>stm32f4xx_hal_spi.o</t>
  </si>
  <si>
    <t>stm32f4xx_hal_rcc.o</t>
  </si>
  <si>
    <t>_printf_fp_dec.o</t>
  </si>
  <si>
    <t>stm32f4xx_hal_dma.o</t>
  </si>
  <si>
    <t>_printf_fp_hex.o</t>
  </si>
  <si>
    <t>stm32f4xx_hal_tim.o</t>
  </si>
  <si>
    <t>main.o</t>
  </si>
  <si>
    <t>stm32f4xx_hal_gpio.o</t>
  </si>
  <si>
    <t>__printf_flags_ss_wp.o</t>
  </si>
  <si>
    <t>bigflt0.o</t>
  </si>
  <si>
    <t>_scanf_int.o</t>
  </si>
  <si>
    <t>lc_ctype_c.o</t>
  </si>
  <si>
    <t>gpio.o</t>
  </si>
  <si>
    <t>lludivv7m.o</t>
  </si>
  <si>
    <t>_printf_wctomb.o</t>
  </si>
  <si>
    <t>stm32f4xx_hal_cortex.o</t>
  </si>
  <si>
    <t>_printf_hex_int_ll_ptr.o</t>
  </si>
  <si>
    <t>_printf_intcommon.o</t>
  </si>
  <si>
    <t>lludiv10.o</t>
  </si>
  <si>
    <t>_printf_fp_infnan.o</t>
  </si>
  <si>
    <t>stm32f4xx_it.o</t>
  </si>
  <si>
    <t>strcmpv7em.o</t>
  </si>
  <si>
    <t>_printf_longlong_dec.o</t>
  </si>
  <si>
    <t>dma.o</t>
  </si>
  <si>
    <t>_printf_dec.o</t>
  </si>
  <si>
    <t>_printf_oct_int_ll.o</t>
  </si>
  <si>
    <t>__scatter.o</t>
  </si>
  <si>
    <t>_printf_str.o</t>
  </si>
  <si>
    <t>rt_memclr_w.o</t>
  </si>
  <si>
    <t>_printf_pad.o</t>
  </si>
  <si>
    <t>sys_stackheap_outer.o</t>
  </si>
  <si>
    <t>lc_numeric_c.o</t>
  </si>
  <si>
    <t>_c16rtomb.o</t>
  </si>
  <si>
    <t>vsnprintf.o</t>
  </si>
  <si>
    <t>stm32f4xx_hal_msp.o</t>
  </si>
  <si>
    <t>m_wm.l</t>
  </si>
  <si>
    <t>fpclassify.o</t>
  </si>
  <si>
    <t>_printf_char_common.o</t>
  </si>
  <si>
    <t>_printf_wchar.o</t>
  </si>
  <si>
    <t>_printf_char.o</t>
  </si>
  <si>
    <t>_printf_charcount.o</t>
  </si>
  <si>
    <t>_printf_truncate.o</t>
  </si>
  <si>
    <t>fz_wm.l</t>
  </si>
  <si>
    <t>libinit2.o</t>
  </si>
  <si>
    <t>_chval.o</t>
  </si>
  <si>
    <t>__scatter_zi.o</t>
  </si>
  <si>
    <t>fpinit.o</t>
  </si>
  <si>
    <t>__scatter_copy.o</t>
  </si>
  <si>
    <t>exit.o</t>
  </si>
  <si>
    <t>rt_ctype_table.o</t>
  </si>
  <si>
    <t>_snputc.o</t>
  </si>
  <si>
    <t>__printf_wp.o</t>
  </si>
  <si>
    <t>sys_exit.o</t>
  </si>
  <si>
    <t>__rtentry2.o</t>
  </si>
  <si>
    <t>rtexit2.o</t>
  </si>
  <si>
    <t>_printf_ll.o</t>
  </si>
  <si>
    <t>_printf_l.o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</si>
  <si>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</si>
  <si>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</si>
  <si>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</si>
  <si>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</si>
  <si>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</si>
  <si>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</si>
  <si>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</si>
  <si>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</si>
  <si>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</si>
  <si>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</si>
  <si>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</si>
  <si>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</si>
  <si>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</si>
  <si>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</si>
  <si>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</si>
  <si>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</si>
  <si>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</si>
  <si>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</si>
  <si>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</si>
  <si>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</si>
  <si>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</si>
  <si>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</si>
  <si>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</si>
  <si>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</si>
  <si>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</si>
  <si>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</si>
  <si>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</si>
  <si>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stm32f4xx_hal_tim_ex.o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</si>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</sst>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ram_percent!$A$3:$A$108</c:f>
              <c:strCache>
                <c:ptCount val="106"/>
                <c:pt idx="0">
                  <c:v>startup_stm32f401xc.o</c:v>
                </c:pt>
                <c:pt idx="1">
                  <c:v>usart_idel_config.o</c:v>
                </c:pt>
                <c:pt idx="2">
                  <c:v>usart.o</c:v>
                </c:pt>
                <c:pt idx="3">
                  <c:v>spi.o</c:v>
                </c:pt>
                <c:pt idx="4">
                  <c:v>st7789.o</c:v>
                </c:pt>
                <c:pt idx="5">
                  <c:v>i2c.o</c:v>
                </c:pt>
                <c:pt idx="6">
                  <c:v>c_w.l</c:v>
                </c:pt>
                <c:pt idx="7">
                  <c:v>libspace.o</c:v>
                </c:pt>
                <c:pt idx="8">
                  <c:v>tim.o</c:v>
                </c:pt>
                <c:pt idx="9">
                  <c:v>stm32f4xx_hal.o</c:v>
                </c:pt>
                <c:pt idx="10">
                  <c:v>system_stm32f4xx.o</c:v>
                </c:pt>
                <c:pt idx="11">
                  <c:v>w25qxx.o</c:v>
                </c:pt>
                <c:pt idx="105">
                  <c:v>Totals</c:v>
                </c:pt>
              </c:strCache>
            </c:strRef>
          </c:cat>
          <c:val>
            <c:numRef>
              <c:f>ram_percent!$B$3:$B$108</c:f>
              <c:numCache>
                <c:formatCode>General</c:formatCode>
                <c:ptCount val="106"/>
                <c:pt idx="0">
                  <c:v>37.26346588134766</c:v>
                </c:pt>
                <c:pt idx="1">
                  <c:v>24.86656951904297</c:v>
                </c:pt>
                <c:pt idx="2">
                  <c:v>11.79039287567139</c:v>
                </c:pt>
                <c:pt idx="3">
                  <c:v>8.733624458312988</c:v>
                </c:pt>
                <c:pt idx="4">
                  <c:v>6.234837532043457</c:v>
                </c:pt>
                <c:pt idx="5">
                  <c:v>4.366812229156494</c:v>
                </c:pt>
                <c:pt idx="6">
                  <c:v>2.328966617584229</c:v>
                </c:pt>
                <c:pt idx="7">
                  <c:v>2.328966617584229</c:v>
                </c:pt>
                <c:pt idx="8">
                  <c:v>1.746724843978882</c:v>
                </c:pt>
                <c:pt idx="9">
                  <c:v>0.2183406054973602</c:v>
                </c:pt>
                <c:pt idx="10">
                  <c:v>0.09704027324914932</c:v>
                </c:pt>
                <c:pt idx="11">
                  <c:v>0.02426006831228733</c:v>
                </c:pt>
                <c:pt idx="10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flash_percent!$A$3:$A$108</c:f>
              <c:strCache>
                <c:ptCount val="106"/>
                <c:pt idx="0">
                  <c:v>c_w.l</c:v>
                </c:pt>
                <c:pt idx="1">
                  <c:v>stm32f4xx_hal_i2c.o</c:v>
                </c:pt>
                <c:pt idx="2">
                  <c:v>st7789.o</c:v>
                </c:pt>
                <c:pt idx="3">
                  <c:v>stm32f4xx_hal_uart.o</c:v>
                </c:pt>
                <c:pt idx="4">
                  <c:v>btod.o</c:v>
                </c:pt>
                <c:pt idx="5">
                  <c:v>stm32f4xx_hal_spi.o</c:v>
                </c:pt>
                <c:pt idx="6">
                  <c:v>stm32f4xx_hal_rcc.o</c:v>
                </c:pt>
                <c:pt idx="7">
                  <c:v>_printf_fp_dec.o</c:v>
                </c:pt>
                <c:pt idx="8">
                  <c:v>stm32f4xx_hal_dma.o</c:v>
                </c:pt>
                <c:pt idx="9">
                  <c:v>_printf_fp_hex.o</c:v>
                </c:pt>
                <c:pt idx="10">
                  <c:v>stm32f4xx_hal_tim.o</c:v>
                </c:pt>
                <c:pt idx="11">
                  <c:v>spi.o</c:v>
                </c:pt>
                <c:pt idx="12">
                  <c:v>usart.o</c:v>
                </c:pt>
                <c:pt idx="13">
                  <c:v>main.o</c:v>
                </c:pt>
                <c:pt idx="14">
                  <c:v>startup_stm32f401xc.o</c:v>
                </c:pt>
                <c:pt idx="15">
                  <c:v>stm32f4xx_hal_gpio.o</c:v>
                </c:pt>
                <c:pt idx="16">
                  <c:v>__printf_flags_ss_wp.o</c:v>
                </c:pt>
                <c:pt idx="17">
                  <c:v>bigflt0.o</c:v>
                </c:pt>
                <c:pt idx="18">
                  <c:v>_scanf_int.o</c:v>
                </c:pt>
                <c:pt idx="19">
                  <c:v>lc_ctype_c.o</c:v>
                </c:pt>
                <c:pt idx="20">
                  <c:v>w25qxx.o</c:v>
                </c:pt>
                <c:pt idx="21">
                  <c:v>gpio.o</c:v>
                </c:pt>
                <c:pt idx="22">
                  <c:v>i2c.o</c:v>
                </c:pt>
                <c:pt idx="23">
                  <c:v>lludivv7m.o</c:v>
                </c:pt>
                <c:pt idx="24">
                  <c:v>stm32f4xx_hal.o</c:v>
                </c:pt>
                <c:pt idx="25">
                  <c:v>usart_idel_config.o</c:v>
                </c:pt>
                <c:pt idx="26">
                  <c:v>_printf_wctomb.o</c:v>
                </c:pt>
                <c:pt idx="27">
                  <c:v>stm32f4xx_hal_cortex.o</c:v>
                </c:pt>
                <c:pt idx="28">
                  <c:v>_printf_hex_int_ll_ptr.o</c:v>
                </c:pt>
                <c:pt idx="29">
                  <c:v>_printf_intcommon.o</c:v>
                </c:pt>
                <c:pt idx="30">
                  <c:v>lludiv10.o</c:v>
                </c:pt>
                <c:pt idx="31">
                  <c:v>_printf_fp_infnan.o</c:v>
                </c:pt>
                <c:pt idx="32">
                  <c:v>tim.o</c:v>
                </c:pt>
                <c:pt idx="33">
                  <c:v>stm32f4xx_it.o</c:v>
                </c:pt>
                <c:pt idx="34">
                  <c:v>strcmpv7em.o</c:v>
                </c:pt>
                <c:pt idx="35">
                  <c:v>_printf_longlong_dec.o</c:v>
                </c:pt>
                <c:pt idx="36">
                  <c:v>dma.o</c:v>
                </c:pt>
                <c:pt idx="37">
                  <c:v>_printf_dec.o</c:v>
                </c:pt>
                <c:pt idx="38">
                  <c:v>_printf_oct_int_ll.o</c:v>
                </c:pt>
                <c:pt idx="39">
                  <c:v>__scatter.o</c:v>
                </c:pt>
                <c:pt idx="40">
                  <c:v>_printf_str.o</c:v>
                </c:pt>
                <c:pt idx="41">
                  <c:v>rt_memclr_w.o</c:v>
                </c:pt>
                <c:pt idx="42">
                  <c:v>_printf_pad.o</c:v>
                </c:pt>
                <c:pt idx="43">
                  <c:v>sys_stackheap_outer.o</c:v>
                </c:pt>
                <c:pt idx="44">
                  <c:v>lc_numeric_c.o</c:v>
                </c:pt>
                <c:pt idx="45">
                  <c:v>_c16rtomb.o</c:v>
                </c:pt>
                <c:pt idx="46">
                  <c:v>vsnprintf.o</c:v>
                </c:pt>
                <c:pt idx="47">
                  <c:v>stm32f4xx_hal_msp.o</c:v>
                </c:pt>
                <c:pt idx="48">
                  <c:v>m_wm.l</c:v>
                </c:pt>
                <c:pt idx="49">
                  <c:v>fpclassify.o</c:v>
                </c:pt>
                <c:pt idx="50">
                  <c:v>_printf_char_common.o</c:v>
                </c:pt>
                <c:pt idx="51">
                  <c:v>system_stm32f4xx.o</c:v>
                </c:pt>
                <c:pt idx="52">
                  <c:v>_printf_wchar.o</c:v>
                </c:pt>
                <c:pt idx="53">
                  <c:v>_printf_char.o</c:v>
                </c:pt>
                <c:pt idx="54">
                  <c:v>_printf_charcount.o</c:v>
                </c:pt>
                <c:pt idx="55">
                  <c:v>_printf_truncate.o</c:v>
                </c:pt>
                <c:pt idx="56">
                  <c:v>fz_wm.l</c:v>
                </c:pt>
                <c:pt idx="57">
                  <c:v>libinit2.o</c:v>
                </c:pt>
                <c:pt idx="58">
                  <c:v>_chval.o</c:v>
                </c:pt>
                <c:pt idx="59">
                  <c:v>__scatter_zi.o</c:v>
                </c:pt>
                <c:pt idx="60">
                  <c:v>fpinit.o</c:v>
                </c:pt>
                <c:pt idx="61">
                  <c:v>__scatter_copy.o</c:v>
                </c:pt>
                <c:pt idx="62">
                  <c:v>exit.o</c:v>
                </c:pt>
                <c:pt idx="63">
                  <c:v>rt_ctype_table.o</c:v>
                </c:pt>
                <c:pt idx="64">
                  <c:v>_snputc.o</c:v>
                </c:pt>
                <c:pt idx="65">
                  <c:v>__printf_wp.o</c:v>
                </c:pt>
                <c:pt idx="66">
                  <c:v>sys_exit.o</c:v>
                </c:pt>
                <c:pt idx="67">
                  <c:v>__rtentry2.o</c:v>
                </c:pt>
                <c:pt idx="68">
                  <c:v>rtexit2.o</c:v>
                </c:pt>
                <c:pt idx="69">
                  <c:v>_printf_ll.o</c:v>
                </c:pt>
                <c:pt idx="70">
                  <c:v>_printf_l.o</c:v>
                </c:pt>
                <c:pt idx="71">
                  <c:v>rt_locale_intlibspace.o</c:v>
                </c:pt>
                <c:pt idx="72">
                  <c:v>libspace.o</c:v>
                </c:pt>
                <c:pt idx="73">
                  <c:v>__main.o</c:v>
                </c:pt>
                <c:pt idx="74">
                  <c:v>heapauxi.o</c:v>
                </c:pt>
                <c:pt idx="75">
                  <c:v>_printf_x.o</c:v>
                </c:pt>
                <c:pt idx="76">
                  <c:v>_printf_u.o</c:v>
                </c:pt>
                <c:pt idx="77">
                  <c:v>_printf_s.o</c:v>
                </c:pt>
                <c:pt idx="78">
                  <c:v>_printf_p.o</c:v>
                </c:pt>
                <c:pt idx="79">
                  <c:v>_printf_o.o</c:v>
                </c:pt>
                <c:pt idx="80">
                  <c:v>_printf_n.o</c:v>
                </c:pt>
                <c:pt idx="81">
                  <c:v>_printf_ls.o</c:v>
                </c:pt>
                <c:pt idx="82">
                  <c:v>_printf_llx.o</c:v>
                </c:pt>
                <c:pt idx="83">
                  <c:v>_printf_llu.o</c:v>
                </c:pt>
                <c:pt idx="84">
                  <c:v>_printf_llo.o</c:v>
                </c:pt>
                <c:pt idx="85">
                  <c:v>_printf_lli.o</c:v>
                </c:pt>
                <c:pt idx="86">
                  <c:v>_printf_lld.o</c:v>
                </c:pt>
                <c:pt idx="87">
                  <c:v>_printf_lc.o</c:v>
                </c:pt>
                <c:pt idx="88">
                  <c:v>_printf_i.o</c:v>
                </c:pt>
                <c:pt idx="89">
                  <c:v>_printf_g.o</c:v>
                </c:pt>
                <c:pt idx="90">
                  <c:v>_printf_f.o</c:v>
                </c:pt>
                <c:pt idx="91">
                  <c:v>_printf_e.o</c:v>
                </c:pt>
                <c:pt idx="92">
                  <c:v>_printf_d.o</c:v>
                </c:pt>
                <c:pt idx="93">
                  <c:v>_printf_c.o</c:v>
                </c:pt>
                <c:pt idx="94">
                  <c:v>_printf_a.o</c:v>
                </c:pt>
                <c:pt idx="95">
                  <c:v>__rtentry4.o</c:v>
                </c:pt>
                <c:pt idx="96">
                  <c:v>printf2.o</c:v>
                </c:pt>
                <c:pt idx="97">
                  <c:v>printf1.o</c:v>
                </c:pt>
                <c:pt idx="98">
                  <c:v>_printf_percent_end.o</c:v>
                </c:pt>
                <c:pt idx="99">
                  <c:v>stm32f4xx_hal_tim_ex.o</c:v>
                </c:pt>
                <c:pt idx="100">
                  <c:v>use_no_semi.o</c:v>
                </c:pt>
                <c:pt idx="101">
                  <c:v>rtexit.o</c:v>
                </c:pt>
                <c:pt idx="102">
                  <c:v>libshutdown2.o</c:v>
                </c:pt>
                <c:pt idx="103">
                  <c:v>libshutdown.o</c:v>
                </c:pt>
                <c:pt idx="104">
                  <c:v>libinit.o</c:v>
                </c:pt>
                <c:pt idx="105">
                  <c:v>Totals</c:v>
                </c:pt>
              </c:strCache>
            </c:strRef>
          </c:cat>
          <c:val>
            <c:numRef>
              <c:f>flash_percent!$B$3:$B$108</c:f>
              <c:numCache>
                <c:formatCode>General</c:formatCode>
                <c:ptCount val="106"/>
                <c:pt idx="0">
                  <c:v>23.55522918701172</c:v>
                </c:pt>
                <c:pt idx="1">
                  <c:v>9.997054100036621</c:v>
                </c:pt>
                <c:pt idx="2">
                  <c:v>8.353461265563965</c:v>
                </c:pt>
                <c:pt idx="3">
                  <c:v>6.238585948944092</c:v>
                </c:pt>
                <c:pt idx="4">
                  <c:v>5.702503681182861</c:v>
                </c:pt>
                <c:pt idx="5">
                  <c:v>5.142857074737549</c:v>
                </c:pt>
                <c:pt idx="6">
                  <c:v>4.076583385467529</c:v>
                </c:pt>
                <c:pt idx="7">
                  <c:v>3.098674535751343</c:v>
                </c:pt>
                <c:pt idx="8">
                  <c:v>3.092783451080322</c:v>
                </c:pt>
                <c:pt idx="9">
                  <c:v>2.362297534942627</c:v>
                </c:pt>
                <c:pt idx="10">
                  <c:v>2.321060419082642</c:v>
                </c:pt>
                <c:pt idx="11">
                  <c:v>1.944035291671753</c:v>
                </c:pt>
                <c:pt idx="12">
                  <c:v>1.625920414924622</c:v>
                </c:pt>
                <c:pt idx="13">
                  <c:v>1.425625920295715</c:v>
                </c:pt>
                <c:pt idx="14">
                  <c:v>1.378497838973999</c:v>
                </c:pt>
                <c:pt idx="15">
                  <c:v>1.278350472450256</c:v>
                </c:pt>
                <c:pt idx="16">
                  <c:v>1.204712867736816</c:v>
                </c:pt>
                <c:pt idx="17">
                  <c:v>1.107511043548584</c:v>
                </c:pt>
                <c:pt idx="18">
                  <c:v>0.9779086709022522</c:v>
                </c:pt>
                <c:pt idx="19">
                  <c:v>0.9307805299758911</c:v>
                </c:pt>
                <c:pt idx="20">
                  <c:v>0.7746686339378357</c:v>
                </c:pt>
                <c:pt idx="21">
                  <c:v>0.7717231512069702</c:v>
                </c:pt>
                <c:pt idx="22">
                  <c:v>0.7599411010742188</c:v>
                </c:pt>
                <c:pt idx="23">
                  <c:v>0.7069219350814819</c:v>
                </c:pt>
                <c:pt idx="24">
                  <c:v>0.6391752362251282</c:v>
                </c:pt>
                <c:pt idx="25">
                  <c:v>0.5832105875015259</c:v>
                </c:pt>
                <c:pt idx="26">
                  <c:v>0.5773195624351502</c:v>
                </c:pt>
                <c:pt idx="27">
                  <c:v>0.5714285969734192</c:v>
                </c:pt>
                <c:pt idx="28">
                  <c:v>0.553755521774292</c:v>
                </c:pt>
                <c:pt idx="29">
                  <c:v>0.5243004560470581</c:v>
                </c:pt>
                <c:pt idx="30">
                  <c:v>0.4064801037311554</c:v>
                </c:pt>
                <c:pt idx="31">
                  <c:v>0.3770250380039215</c:v>
                </c:pt>
                <c:pt idx="32">
                  <c:v>0.3770250380039215</c:v>
                </c:pt>
                <c:pt idx="33">
                  <c:v>0.3770250380039215</c:v>
                </c:pt>
                <c:pt idx="34">
                  <c:v>0.3652430176734924</c:v>
                </c:pt>
                <c:pt idx="35">
                  <c:v>0.3652430176734924</c:v>
                </c:pt>
                <c:pt idx="36">
                  <c:v>0.3652430176734924</c:v>
                </c:pt>
                <c:pt idx="37">
                  <c:v>0.353460967540741</c:v>
                </c:pt>
                <c:pt idx="38">
                  <c:v>0.3298968970775604</c:v>
                </c:pt>
                <c:pt idx="39">
                  <c:v>0.276877760887146</c:v>
                </c:pt>
                <c:pt idx="40">
                  <c:v>0.2415316700935364</c:v>
                </c:pt>
                <c:pt idx="41">
                  <c:v>0.2297496348619461</c:v>
                </c:pt>
                <c:pt idx="42">
                  <c:v>0.2297496348619461</c:v>
                </c:pt>
                <c:pt idx="43">
                  <c:v>0.2179675996303558</c:v>
                </c:pt>
                <c:pt idx="44">
                  <c:v>0.2120765894651413</c:v>
                </c:pt>
                <c:pt idx="45">
                  <c:v>0.2120765894651413</c:v>
                </c:pt>
                <c:pt idx="46">
                  <c:v>0.1767304837703705</c:v>
                </c:pt>
                <c:pt idx="47">
                  <c:v>0.1649484485387802</c:v>
                </c:pt>
                <c:pt idx="48">
                  <c:v>0.1413843929767609</c:v>
                </c:pt>
                <c:pt idx="49">
                  <c:v>0.1413843929767609</c:v>
                </c:pt>
                <c:pt idx="50">
                  <c:v>0.1413843929767609</c:v>
                </c:pt>
                <c:pt idx="51">
                  <c:v>0.1354933679103851</c:v>
                </c:pt>
                <c:pt idx="52">
                  <c:v>0.1296023577451706</c:v>
                </c:pt>
                <c:pt idx="53">
                  <c:v>0.1296023577451706</c:v>
                </c:pt>
                <c:pt idx="54">
                  <c:v>0.1178203225135803</c:v>
                </c:pt>
                <c:pt idx="55">
                  <c:v>0.1060382947325707</c:v>
                </c:pt>
                <c:pt idx="56">
                  <c:v>0.1001472771167755</c:v>
                </c:pt>
                <c:pt idx="57">
                  <c:v>0.1001472771167755</c:v>
                </c:pt>
                <c:pt idx="58">
                  <c:v>0.08247422426939011</c:v>
                </c:pt>
                <c:pt idx="59">
                  <c:v>0.08247422426939011</c:v>
                </c:pt>
                <c:pt idx="60">
                  <c:v>0.07658321410417557</c:v>
                </c:pt>
                <c:pt idx="61">
                  <c:v>0.07658321410417557</c:v>
                </c:pt>
                <c:pt idx="62">
                  <c:v>0.05301914736628532</c:v>
                </c:pt>
                <c:pt idx="63">
                  <c:v>0.04712812975049019</c:v>
                </c:pt>
                <c:pt idx="64">
                  <c:v>0.04712812975049019</c:v>
                </c:pt>
                <c:pt idx="65">
                  <c:v>0.04123711213469505</c:v>
                </c:pt>
                <c:pt idx="66">
                  <c:v>0.03534609824419022</c:v>
                </c:pt>
                <c:pt idx="67">
                  <c:v>0.03534609824419022</c:v>
                </c:pt>
                <c:pt idx="68">
                  <c:v>0.02945508062839508</c:v>
                </c:pt>
                <c:pt idx="69">
                  <c:v>0.02945508062839508</c:v>
                </c:pt>
                <c:pt idx="70">
                  <c:v>0.02945508062839508</c:v>
                </c:pt>
                <c:pt idx="71">
                  <c:v>0.02356406487524509</c:v>
                </c:pt>
                <c:pt idx="72">
                  <c:v>0.02356406487524509</c:v>
                </c:pt>
                <c:pt idx="73">
                  <c:v>0.02356406487524509</c:v>
                </c:pt>
                <c:pt idx="74">
                  <c:v>0.01767304912209511</c:v>
                </c:pt>
                <c:pt idx="75">
                  <c:v>0.01767304912209511</c:v>
                </c:pt>
                <c:pt idx="76">
                  <c:v>0.01767304912209511</c:v>
                </c:pt>
                <c:pt idx="77">
                  <c:v>0.01767304912209511</c:v>
                </c:pt>
                <c:pt idx="78">
                  <c:v>0.01767304912209511</c:v>
                </c:pt>
                <c:pt idx="79">
                  <c:v>0.01767304912209511</c:v>
                </c:pt>
                <c:pt idx="80">
                  <c:v>0.01767304912209511</c:v>
                </c:pt>
                <c:pt idx="81">
                  <c:v>0.01767304912209511</c:v>
                </c:pt>
                <c:pt idx="82">
                  <c:v>0.01767304912209511</c:v>
                </c:pt>
                <c:pt idx="83">
                  <c:v>0.01767304912209511</c:v>
                </c:pt>
                <c:pt idx="84">
                  <c:v>0.01767304912209511</c:v>
                </c:pt>
                <c:pt idx="85">
                  <c:v>0.01767304912209511</c:v>
                </c:pt>
                <c:pt idx="86">
                  <c:v>0.01767304912209511</c:v>
                </c:pt>
                <c:pt idx="87">
                  <c:v>0.01767304912209511</c:v>
                </c:pt>
                <c:pt idx="88">
                  <c:v>0.01767304912209511</c:v>
                </c:pt>
                <c:pt idx="89">
                  <c:v>0.01767304912209511</c:v>
                </c:pt>
                <c:pt idx="90">
                  <c:v>0.01767304912209511</c:v>
                </c:pt>
                <c:pt idx="91">
                  <c:v>0.01767304912209511</c:v>
                </c:pt>
                <c:pt idx="92">
                  <c:v>0.01767304912209511</c:v>
                </c:pt>
                <c:pt idx="93">
                  <c:v>0.01767304912209511</c:v>
                </c:pt>
                <c:pt idx="94">
                  <c:v>0.01767304912209511</c:v>
                </c:pt>
                <c:pt idx="95">
                  <c:v>0.01767304912209511</c:v>
                </c:pt>
                <c:pt idx="96">
                  <c:v>0.01178203243762255</c:v>
                </c:pt>
                <c:pt idx="97">
                  <c:v>0.01178203243762255</c:v>
                </c:pt>
                <c:pt idx="98">
                  <c:v>0.01178203243762255</c:v>
                </c:pt>
                <c:pt idx="99">
                  <c:v>0.01178203243762255</c:v>
                </c:pt>
                <c:pt idx="100">
                  <c:v>0.005891016218811274</c:v>
                </c:pt>
                <c:pt idx="101">
                  <c:v>0.005891016218811274</c:v>
                </c:pt>
                <c:pt idx="102">
                  <c:v>0.005891016218811274</c:v>
                </c:pt>
                <c:pt idx="103">
                  <c:v>0.005891016218811274</c:v>
                </c:pt>
                <c:pt idx="104">
                  <c:v>0.005891016218811274</c:v>
                </c:pt>
                <c:pt idx="10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08" totalsRowCount="1">
  <autoFilter ref="A2:H10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08" totalsRowCount="1">
  <autoFilter ref="A2:H10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0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106</v>
      </c>
      <c r="B2" t="s">
        <v>108</v>
      </c>
      <c r="C2" t="s">
        <v>109</v>
      </c>
      <c r="D2" t="s">
        <v>110</v>
      </c>
      <c r="E2" t="s">
        <v>111</v>
      </c>
      <c r="F2" t="s">
        <v>112</v>
      </c>
      <c r="G2" t="s">
        <v>113</v>
      </c>
      <c r="H2" t="s">
        <v>114</v>
      </c>
    </row>
    <row r="3" spans="1:8">
      <c r="A3" s="1" t="s">
        <v>1</v>
      </c>
      <c r="B3" s="2">
        <v>37.26346588134766</v>
      </c>
      <c r="C3" s="1">
        <v>1536</v>
      </c>
      <c r="D3" s="1">
        <v>468</v>
      </c>
      <c r="E3" s="1">
        <v>64</v>
      </c>
      <c r="F3" s="1">
        <v>404</v>
      </c>
      <c r="G3" s="1">
        <v>0</v>
      </c>
      <c r="H3" s="1">
        <v>1536</v>
      </c>
    </row>
    <row r="4" spans="1:8">
      <c r="A4" s="1" t="s">
        <v>2</v>
      </c>
      <c r="B4" s="2">
        <v>24.86656951904297</v>
      </c>
      <c r="C4" s="1">
        <v>1025</v>
      </c>
      <c r="D4" s="1">
        <v>198</v>
      </c>
      <c r="E4" s="1">
        <v>198</v>
      </c>
      <c r="F4" s="1">
        <v>0</v>
      </c>
      <c r="G4" s="1">
        <v>0</v>
      </c>
      <c r="H4" s="1">
        <v>1025</v>
      </c>
    </row>
    <row r="5" spans="1:8">
      <c r="A5" s="1" t="s">
        <v>3</v>
      </c>
      <c r="B5" s="2">
        <v>11.79039287567139</v>
      </c>
      <c r="C5" s="1">
        <v>486</v>
      </c>
      <c r="D5" s="1">
        <v>552</v>
      </c>
      <c r="E5" s="1">
        <v>552</v>
      </c>
      <c r="F5" s="1">
        <v>0</v>
      </c>
      <c r="G5" s="1">
        <v>0</v>
      </c>
      <c r="H5" s="1">
        <v>486</v>
      </c>
    </row>
    <row r="6" spans="1:8">
      <c r="A6" s="1" t="s">
        <v>4</v>
      </c>
      <c r="B6" s="2">
        <v>8.733624458312988</v>
      </c>
      <c r="C6" s="1">
        <v>360</v>
      </c>
      <c r="D6" s="1">
        <v>660</v>
      </c>
      <c r="E6" s="1">
        <v>660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6.234837532043457</v>
      </c>
      <c r="C7" s="1">
        <v>257</v>
      </c>
      <c r="D7" s="1">
        <v>2836</v>
      </c>
      <c r="E7" s="1">
        <v>2836</v>
      </c>
      <c r="F7" s="1">
        <v>0</v>
      </c>
      <c r="G7" s="1">
        <v>0</v>
      </c>
      <c r="H7" s="1">
        <v>257</v>
      </c>
    </row>
    <row r="8" spans="1:8">
      <c r="A8" s="1" t="s">
        <v>6</v>
      </c>
      <c r="B8" s="2">
        <v>4.366812229156494</v>
      </c>
      <c r="C8" s="1">
        <v>180</v>
      </c>
      <c r="D8" s="1">
        <v>258</v>
      </c>
      <c r="E8" s="1">
        <v>258</v>
      </c>
      <c r="F8" s="1">
        <v>0</v>
      </c>
      <c r="G8" s="1">
        <v>0</v>
      </c>
      <c r="H8" s="1">
        <v>180</v>
      </c>
    </row>
    <row r="9" spans="1:8">
      <c r="A9" s="1" t="s">
        <v>7</v>
      </c>
      <c r="B9" s="2">
        <v>2.328966617584229</v>
      </c>
      <c r="C9" s="1">
        <v>96</v>
      </c>
      <c r="D9" s="1">
        <v>7997</v>
      </c>
      <c r="E9" s="1">
        <v>7446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2.328966617584229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1.746724843978882</v>
      </c>
      <c r="C11" s="1">
        <v>72</v>
      </c>
      <c r="D11" s="1">
        <v>128</v>
      </c>
      <c r="E11" s="1">
        <v>128</v>
      </c>
      <c r="F11" s="1">
        <v>0</v>
      </c>
      <c r="G11" s="1">
        <v>0</v>
      </c>
      <c r="H11" s="1">
        <v>72</v>
      </c>
    </row>
    <row r="12" spans="1:8">
      <c r="A12" s="1" t="s">
        <v>10</v>
      </c>
      <c r="B12" s="2">
        <v>0.2183406054973602</v>
      </c>
      <c r="C12" s="1">
        <v>9</v>
      </c>
      <c r="D12" s="1">
        <v>217</v>
      </c>
      <c r="E12" s="1">
        <v>212</v>
      </c>
      <c r="F12" s="1">
        <v>0</v>
      </c>
      <c r="G12" s="1">
        <v>5</v>
      </c>
      <c r="H12" s="1">
        <v>4</v>
      </c>
    </row>
    <row r="13" spans="1:8">
      <c r="A13" s="1" t="s">
        <v>11</v>
      </c>
      <c r="B13" s="2">
        <v>0.09704027324914932</v>
      </c>
      <c r="C13" s="1">
        <v>4</v>
      </c>
      <c r="D13" s="1">
        <v>46</v>
      </c>
      <c r="E13" s="1">
        <v>18</v>
      </c>
      <c r="F13" s="1">
        <v>24</v>
      </c>
      <c r="G13" s="1">
        <v>4</v>
      </c>
      <c r="H13" s="1">
        <v>0</v>
      </c>
    </row>
    <row r="14" spans="1:8">
      <c r="A14" s="1" t="s">
        <v>12</v>
      </c>
      <c r="B14" s="2">
        <v>0.02426006831228733</v>
      </c>
      <c r="C14" s="1">
        <v>1</v>
      </c>
      <c r="D14" s="1">
        <v>263</v>
      </c>
      <c r="E14" s="1">
        <v>262</v>
      </c>
      <c r="F14" s="1">
        <v>0</v>
      </c>
      <c r="G14" s="1">
        <v>1</v>
      </c>
      <c r="H14" s="1">
        <v>0</v>
      </c>
    </row>
    <row r="108" spans="1:8">
      <c r="A108" t="s">
        <v>107</v>
      </c>
      <c r="B108">
        <f>SUBTOTAL(109,[ram_percent])</f>
        <v>0</v>
      </c>
      <c r="C108">
        <f>SUBTOTAL(109,[ram])</f>
        <v>0</v>
      </c>
      <c r="D108">
        <f>SUBTOTAL(109,[flash])</f>
        <v>0</v>
      </c>
      <c r="E108">
        <f>SUBTOTAL(109,[Code])</f>
        <v>0</v>
      </c>
      <c r="F108">
        <f>SUBTOTAL(109,[RO_data])</f>
        <v>0</v>
      </c>
      <c r="G108">
        <f>SUBTOTAL(109,[RW_data])</f>
        <v>0</v>
      </c>
      <c r="H10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106</v>
      </c>
      <c r="B2" t="s">
        <v>115</v>
      </c>
      <c r="C2" t="s">
        <v>110</v>
      </c>
      <c r="D2" t="s">
        <v>109</v>
      </c>
      <c r="E2" t="s">
        <v>111</v>
      </c>
      <c r="F2" t="s">
        <v>112</v>
      </c>
      <c r="G2" t="s">
        <v>113</v>
      </c>
      <c r="H2" t="s">
        <v>114</v>
      </c>
    </row>
    <row r="3" spans="1:8">
      <c r="A3" s="1" t="s">
        <v>7</v>
      </c>
      <c r="B3" s="2">
        <v>23.55522918701172</v>
      </c>
      <c r="C3" s="1">
        <v>7997</v>
      </c>
      <c r="D3" s="1">
        <v>96</v>
      </c>
      <c r="E3" s="1">
        <v>7446</v>
      </c>
      <c r="F3" s="1">
        <v>551</v>
      </c>
      <c r="G3" s="1">
        <v>0</v>
      </c>
      <c r="H3" s="1">
        <v>96</v>
      </c>
    </row>
    <row r="4" spans="1:8">
      <c r="A4" s="1" t="s">
        <v>13</v>
      </c>
      <c r="B4" s="2">
        <v>9.997054100036621</v>
      </c>
      <c r="C4" s="1">
        <v>3394</v>
      </c>
      <c r="D4" s="1">
        <v>0</v>
      </c>
      <c r="E4" s="1">
        <v>3394</v>
      </c>
      <c r="F4" s="1">
        <v>0</v>
      </c>
      <c r="G4" s="1">
        <v>0</v>
      </c>
      <c r="H4" s="1">
        <v>0</v>
      </c>
    </row>
    <row r="5" spans="1:8">
      <c r="A5" s="1" t="s">
        <v>5</v>
      </c>
      <c r="B5" s="2">
        <v>8.353461265563965</v>
      </c>
      <c r="C5" s="1">
        <v>2836</v>
      </c>
      <c r="D5" s="1">
        <v>257</v>
      </c>
      <c r="E5" s="1">
        <v>2836</v>
      </c>
      <c r="F5" s="1">
        <v>0</v>
      </c>
      <c r="G5" s="1">
        <v>0</v>
      </c>
      <c r="H5" s="1">
        <v>257</v>
      </c>
    </row>
    <row r="6" spans="1:8">
      <c r="A6" s="1" t="s">
        <v>14</v>
      </c>
      <c r="B6" s="2">
        <v>6.238585948944092</v>
      </c>
      <c r="C6" s="1">
        <v>2118</v>
      </c>
      <c r="D6" s="1">
        <v>0</v>
      </c>
      <c r="E6" s="1">
        <v>2118</v>
      </c>
      <c r="F6" s="1">
        <v>0</v>
      </c>
      <c r="G6" s="1">
        <v>0</v>
      </c>
      <c r="H6" s="1">
        <v>0</v>
      </c>
    </row>
    <row r="7" spans="1:8">
      <c r="A7" s="1" t="s">
        <v>15</v>
      </c>
      <c r="B7" s="2">
        <v>5.702503681182861</v>
      </c>
      <c r="C7" s="1">
        <v>1936</v>
      </c>
      <c r="D7" s="1">
        <v>0</v>
      </c>
      <c r="E7" s="1">
        <v>1936</v>
      </c>
      <c r="F7" s="1">
        <v>0</v>
      </c>
      <c r="G7" s="1">
        <v>0</v>
      </c>
      <c r="H7" s="1">
        <v>0</v>
      </c>
    </row>
    <row r="8" spans="1:8">
      <c r="A8" s="1" t="s">
        <v>16</v>
      </c>
      <c r="B8" s="2">
        <v>5.142857074737549</v>
      </c>
      <c r="C8" s="1">
        <v>1746</v>
      </c>
      <c r="D8" s="1">
        <v>0</v>
      </c>
      <c r="E8" s="1">
        <v>1746</v>
      </c>
      <c r="F8" s="1">
        <v>0</v>
      </c>
      <c r="G8" s="1">
        <v>0</v>
      </c>
      <c r="H8" s="1">
        <v>0</v>
      </c>
    </row>
    <row r="9" spans="1:8">
      <c r="A9" s="1" t="s">
        <v>17</v>
      </c>
      <c r="B9" s="2">
        <v>4.076583385467529</v>
      </c>
      <c r="C9" s="1">
        <v>1384</v>
      </c>
      <c r="D9" s="1">
        <v>0</v>
      </c>
      <c r="E9" s="1">
        <v>1384</v>
      </c>
      <c r="F9" s="1">
        <v>0</v>
      </c>
      <c r="G9" s="1">
        <v>0</v>
      </c>
      <c r="H9" s="1">
        <v>0</v>
      </c>
    </row>
    <row r="10" spans="1:8">
      <c r="A10" s="1" t="s">
        <v>18</v>
      </c>
      <c r="B10" s="2">
        <v>3.098674535751343</v>
      </c>
      <c r="C10" s="1">
        <v>1052</v>
      </c>
      <c r="D10" s="1">
        <v>0</v>
      </c>
      <c r="E10" s="1">
        <v>1052</v>
      </c>
      <c r="F10" s="1">
        <v>0</v>
      </c>
      <c r="G10" s="1">
        <v>0</v>
      </c>
      <c r="H10" s="1">
        <v>0</v>
      </c>
    </row>
    <row r="11" spans="1:8">
      <c r="A11" s="1" t="s">
        <v>19</v>
      </c>
      <c r="B11" s="2">
        <v>3.092783451080322</v>
      </c>
      <c r="C11" s="1">
        <v>1050</v>
      </c>
      <c r="D11" s="1">
        <v>0</v>
      </c>
      <c r="E11" s="1">
        <v>1042</v>
      </c>
      <c r="F11" s="1">
        <v>8</v>
      </c>
      <c r="G11" s="1">
        <v>0</v>
      </c>
      <c r="H11" s="1">
        <v>0</v>
      </c>
    </row>
    <row r="12" spans="1:8">
      <c r="A12" s="1" t="s">
        <v>20</v>
      </c>
      <c r="B12" s="2">
        <v>2.362297534942627</v>
      </c>
      <c r="C12" s="1">
        <v>802</v>
      </c>
      <c r="D12" s="1">
        <v>0</v>
      </c>
      <c r="E12" s="1">
        <v>764</v>
      </c>
      <c r="F12" s="1">
        <v>38</v>
      </c>
      <c r="G12" s="1">
        <v>0</v>
      </c>
      <c r="H12" s="1">
        <v>0</v>
      </c>
    </row>
    <row r="13" spans="1:8">
      <c r="A13" s="1" t="s">
        <v>21</v>
      </c>
      <c r="B13" s="2">
        <v>2.321060419082642</v>
      </c>
      <c r="C13" s="1">
        <v>788</v>
      </c>
      <c r="D13" s="1">
        <v>0</v>
      </c>
      <c r="E13" s="1">
        <v>788</v>
      </c>
      <c r="F13" s="1">
        <v>0</v>
      </c>
      <c r="G13" s="1">
        <v>0</v>
      </c>
      <c r="H13" s="1">
        <v>0</v>
      </c>
    </row>
    <row r="14" spans="1:8">
      <c r="A14" s="1" t="s">
        <v>4</v>
      </c>
      <c r="B14" s="2">
        <v>1.944035291671753</v>
      </c>
      <c r="C14" s="1">
        <v>660</v>
      </c>
      <c r="D14" s="1">
        <v>360</v>
      </c>
      <c r="E14" s="1">
        <v>660</v>
      </c>
      <c r="F14" s="1">
        <v>0</v>
      </c>
      <c r="G14" s="1">
        <v>0</v>
      </c>
      <c r="H14" s="1">
        <v>360</v>
      </c>
    </row>
    <row r="15" spans="1:8">
      <c r="A15" s="1" t="s">
        <v>3</v>
      </c>
      <c r="B15" s="2">
        <v>1.625920414924622</v>
      </c>
      <c r="C15" s="1">
        <v>552</v>
      </c>
      <c r="D15" s="1">
        <v>486</v>
      </c>
      <c r="E15" s="1">
        <v>552</v>
      </c>
      <c r="F15" s="1">
        <v>0</v>
      </c>
      <c r="G15" s="1">
        <v>0</v>
      </c>
      <c r="H15" s="1">
        <v>486</v>
      </c>
    </row>
    <row r="16" spans="1:8">
      <c r="A16" s="1" t="s">
        <v>22</v>
      </c>
      <c r="B16" s="2">
        <v>1.425625920295715</v>
      </c>
      <c r="C16" s="1">
        <v>484</v>
      </c>
      <c r="D16" s="1">
        <v>0</v>
      </c>
      <c r="E16" s="1">
        <v>484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1.378497838973999</v>
      </c>
      <c r="C17" s="1">
        <v>468</v>
      </c>
      <c r="D17" s="1">
        <v>1536</v>
      </c>
      <c r="E17" s="1">
        <v>64</v>
      </c>
      <c r="F17" s="1">
        <v>404</v>
      </c>
      <c r="G17" s="1">
        <v>0</v>
      </c>
      <c r="H17" s="1">
        <v>1536</v>
      </c>
    </row>
    <row r="18" spans="1:8">
      <c r="A18" s="1" t="s">
        <v>23</v>
      </c>
      <c r="B18" s="2">
        <v>1.278350472450256</v>
      </c>
      <c r="C18" s="1">
        <v>434</v>
      </c>
      <c r="D18" s="1">
        <v>0</v>
      </c>
      <c r="E18" s="1">
        <v>434</v>
      </c>
      <c r="F18" s="1">
        <v>0</v>
      </c>
      <c r="G18" s="1">
        <v>0</v>
      </c>
      <c r="H18" s="1">
        <v>0</v>
      </c>
    </row>
    <row r="19" spans="1:8">
      <c r="A19" s="1" t="s">
        <v>24</v>
      </c>
      <c r="B19" s="2">
        <v>1.204712867736816</v>
      </c>
      <c r="C19" s="1">
        <v>409</v>
      </c>
      <c r="D19" s="1">
        <v>0</v>
      </c>
      <c r="E19" s="1">
        <v>392</v>
      </c>
      <c r="F19" s="1">
        <v>17</v>
      </c>
      <c r="G19" s="1">
        <v>0</v>
      </c>
      <c r="H19" s="1">
        <v>0</v>
      </c>
    </row>
    <row r="20" spans="1:8">
      <c r="A20" s="1" t="s">
        <v>25</v>
      </c>
      <c r="B20" s="2">
        <v>1.107511043548584</v>
      </c>
      <c r="C20" s="1">
        <v>376</v>
      </c>
      <c r="D20" s="1">
        <v>0</v>
      </c>
      <c r="E20" s="1">
        <v>228</v>
      </c>
      <c r="F20" s="1">
        <v>148</v>
      </c>
      <c r="G20" s="1">
        <v>0</v>
      </c>
      <c r="H20" s="1">
        <v>0</v>
      </c>
    </row>
    <row r="21" spans="1:8">
      <c r="A21" s="1" t="s">
        <v>26</v>
      </c>
      <c r="B21" s="2">
        <v>0.9779086709022522</v>
      </c>
      <c r="C21" s="1">
        <v>332</v>
      </c>
      <c r="D21" s="1">
        <v>0</v>
      </c>
      <c r="E21" s="1">
        <v>332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0.9307805299758911</v>
      </c>
      <c r="C22" s="1">
        <v>316</v>
      </c>
      <c r="D22" s="1">
        <v>0</v>
      </c>
      <c r="E22" s="1">
        <v>44</v>
      </c>
      <c r="F22" s="1">
        <v>272</v>
      </c>
      <c r="G22" s="1">
        <v>0</v>
      </c>
      <c r="H22" s="1">
        <v>0</v>
      </c>
    </row>
    <row r="23" spans="1:8">
      <c r="A23" s="1" t="s">
        <v>12</v>
      </c>
      <c r="B23" s="2">
        <v>0.7746686339378357</v>
      </c>
      <c r="C23" s="1">
        <v>263</v>
      </c>
      <c r="D23" s="1">
        <v>1</v>
      </c>
      <c r="E23" s="1">
        <v>262</v>
      </c>
      <c r="F23" s="1">
        <v>0</v>
      </c>
      <c r="G23" s="1">
        <v>1</v>
      </c>
      <c r="H23" s="1">
        <v>0</v>
      </c>
    </row>
    <row r="24" spans="1:8">
      <c r="A24" s="1" t="s">
        <v>28</v>
      </c>
      <c r="B24" s="2">
        <v>0.7717231512069702</v>
      </c>
      <c r="C24" s="1">
        <v>262</v>
      </c>
      <c r="D24" s="1">
        <v>0</v>
      </c>
      <c r="E24" s="1">
        <v>262</v>
      </c>
      <c r="F24" s="1">
        <v>0</v>
      </c>
      <c r="G24" s="1">
        <v>0</v>
      </c>
      <c r="H24" s="1">
        <v>0</v>
      </c>
    </row>
    <row r="25" spans="1:8">
      <c r="A25" s="1" t="s">
        <v>6</v>
      </c>
      <c r="B25" s="2">
        <v>0.7599411010742188</v>
      </c>
      <c r="C25" s="1">
        <v>258</v>
      </c>
      <c r="D25" s="1">
        <v>180</v>
      </c>
      <c r="E25" s="1">
        <v>258</v>
      </c>
      <c r="F25" s="1">
        <v>0</v>
      </c>
      <c r="G25" s="1">
        <v>0</v>
      </c>
      <c r="H25" s="1">
        <v>180</v>
      </c>
    </row>
    <row r="26" spans="1:8">
      <c r="A26" s="1" t="s">
        <v>29</v>
      </c>
      <c r="B26" s="2">
        <v>0.7069219350814819</v>
      </c>
      <c r="C26" s="1">
        <v>240</v>
      </c>
      <c r="D26" s="1">
        <v>0</v>
      </c>
      <c r="E26" s="1">
        <v>240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0.6391752362251282</v>
      </c>
      <c r="C27" s="1">
        <v>217</v>
      </c>
      <c r="D27" s="1">
        <v>9</v>
      </c>
      <c r="E27" s="1">
        <v>212</v>
      </c>
      <c r="F27" s="1">
        <v>0</v>
      </c>
      <c r="G27" s="1">
        <v>5</v>
      </c>
      <c r="H27" s="1">
        <v>4</v>
      </c>
    </row>
    <row r="28" spans="1:8">
      <c r="A28" s="1" t="s">
        <v>2</v>
      </c>
      <c r="B28" s="2">
        <v>0.5832105875015259</v>
      </c>
      <c r="C28" s="1">
        <v>198</v>
      </c>
      <c r="D28" s="1">
        <v>1025</v>
      </c>
      <c r="E28" s="1">
        <v>198</v>
      </c>
      <c r="F28" s="1">
        <v>0</v>
      </c>
      <c r="G28" s="1">
        <v>0</v>
      </c>
      <c r="H28" s="1">
        <v>1025</v>
      </c>
    </row>
    <row r="29" spans="1:8">
      <c r="A29" s="1" t="s">
        <v>30</v>
      </c>
      <c r="B29" s="2">
        <v>0.5773195624351502</v>
      </c>
      <c r="C29" s="1">
        <v>196</v>
      </c>
      <c r="D29" s="1">
        <v>0</v>
      </c>
      <c r="E29" s="1">
        <v>188</v>
      </c>
      <c r="F29" s="1">
        <v>8</v>
      </c>
      <c r="G29" s="1">
        <v>0</v>
      </c>
      <c r="H29" s="1">
        <v>0</v>
      </c>
    </row>
    <row r="30" spans="1:8">
      <c r="A30" s="1" t="s">
        <v>31</v>
      </c>
      <c r="B30" s="2">
        <v>0.5714285969734192</v>
      </c>
      <c r="C30" s="1">
        <v>194</v>
      </c>
      <c r="D30" s="1">
        <v>0</v>
      </c>
      <c r="E30" s="1">
        <v>194</v>
      </c>
      <c r="F30" s="1">
        <v>0</v>
      </c>
      <c r="G30" s="1">
        <v>0</v>
      </c>
      <c r="H30" s="1">
        <v>0</v>
      </c>
    </row>
    <row r="31" spans="1:8">
      <c r="A31" s="1" t="s">
        <v>32</v>
      </c>
      <c r="B31" s="2">
        <v>0.553755521774292</v>
      </c>
      <c r="C31" s="1">
        <v>188</v>
      </c>
      <c r="D31" s="1">
        <v>0</v>
      </c>
      <c r="E31" s="1">
        <v>148</v>
      </c>
      <c r="F31" s="1">
        <v>40</v>
      </c>
      <c r="G31" s="1">
        <v>0</v>
      </c>
      <c r="H31" s="1">
        <v>0</v>
      </c>
    </row>
    <row r="32" spans="1:8">
      <c r="A32" s="1" t="s">
        <v>33</v>
      </c>
      <c r="B32" s="2">
        <v>0.5243004560470581</v>
      </c>
      <c r="C32" s="1">
        <v>178</v>
      </c>
      <c r="D32" s="1">
        <v>0</v>
      </c>
      <c r="E32" s="1">
        <v>178</v>
      </c>
      <c r="F32" s="1">
        <v>0</v>
      </c>
      <c r="G32" s="1">
        <v>0</v>
      </c>
      <c r="H32" s="1">
        <v>0</v>
      </c>
    </row>
    <row r="33" spans="1:8">
      <c r="A33" s="1" t="s">
        <v>34</v>
      </c>
      <c r="B33" s="2">
        <v>0.4064801037311554</v>
      </c>
      <c r="C33" s="1">
        <v>138</v>
      </c>
      <c r="D33" s="1">
        <v>0</v>
      </c>
      <c r="E33" s="1">
        <v>138</v>
      </c>
      <c r="F33" s="1">
        <v>0</v>
      </c>
      <c r="G33" s="1">
        <v>0</v>
      </c>
      <c r="H33" s="1">
        <v>0</v>
      </c>
    </row>
    <row r="34" spans="1:8">
      <c r="A34" s="1" t="s">
        <v>35</v>
      </c>
      <c r="B34" s="2">
        <v>0.3770250380039215</v>
      </c>
      <c r="C34" s="1">
        <v>128</v>
      </c>
      <c r="D34" s="1">
        <v>0</v>
      </c>
      <c r="E34" s="1">
        <v>128</v>
      </c>
      <c r="F34" s="1">
        <v>0</v>
      </c>
      <c r="G34" s="1">
        <v>0</v>
      </c>
      <c r="H34" s="1">
        <v>0</v>
      </c>
    </row>
    <row r="35" spans="1:8">
      <c r="A35" s="1" t="s">
        <v>9</v>
      </c>
      <c r="B35" s="2">
        <v>0.3770250380039215</v>
      </c>
      <c r="C35" s="1">
        <v>128</v>
      </c>
      <c r="D35" s="1">
        <v>72</v>
      </c>
      <c r="E35" s="1">
        <v>128</v>
      </c>
      <c r="F35" s="1">
        <v>0</v>
      </c>
      <c r="G35" s="1">
        <v>0</v>
      </c>
      <c r="H35" s="1">
        <v>72</v>
      </c>
    </row>
    <row r="36" spans="1:8">
      <c r="A36" s="1" t="s">
        <v>36</v>
      </c>
      <c r="B36" s="2">
        <v>0.3770250380039215</v>
      </c>
      <c r="C36" s="1">
        <v>128</v>
      </c>
      <c r="D36" s="1">
        <v>0</v>
      </c>
      <c r="E36" s="1">
        <v>128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0.3652430176734924</v>
      </c>
      <c r="C37" s="1">
        <v>124</v>
      </c>
      <c r="D37" s="1">
        <v>0</v>
      </c>
      <c r="E37" s="1">
        <v>124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0.3652430176734924</v>
      </c>
      <c r="C38" s="1">
        <v>124</v>
      </c>
      <c r="D38" s="1">
        <v>0</v>
      </c>
      <c r="E38" s="1">
        <v>124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0.3652430176734924</v>
      </c>
      <c r="C39" s="1">
        <v>124</v>
      </c>
      <c r="D39" s="1">
        <v>0</v>
      </c>
      <c r="E39" s="1">
        <v>124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0.353460967540741</v>
      </c>
      <c r="C40" s="1">
        <v>120</v>
      </c>
      <c r="D40" s="1">
        <v>0</v>
      </c>
      <c r="E40" s="1">
        <v>120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0.3298968970775604</v>
      </c>
      <c r="C41" s="1">
        <v>112</v>
      </c>
      <c r="D41" s="1">
        <v>0</v>
      </c>
      <c r="E41" s="1">
        <v>112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0.276877760887146</v>
      </c>
      <c r="C42" s="1">
        <v>94</v>
      </c>
      <c r="D42" s="1">
        <v>0</v>
      </c>
      <c r="E42" s="1">
        <v>94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0.2415316700935364</v>
      </c>
      <c r="C43" s="1">
        <v>82</v>
      </c>
      <c r="D43" s="1">
        <v>0</v>
      </c>
      <c r="E43" s="1">
        <v>82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0.2297496348619461</v>
      </c>
      <c r="C44" s="1">
        <v>78</v>
      </c>
      <c r="D44" s="1">
        <v>0</v>
      </c>
      <c r="E44" s="1">
        <v>78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0.2297496348619461</v>
      </c>
      <c r="C45" s="1">
        <v>78</v>
      </c>
      <c r="D45" s="1">
        <v>0</v>
      </c>
      <c r="E45" s="1">
        <v>78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0.2179675996303558</v>
      </c>
      <c r="C46" s="1">
        <v>74</v>
      </c>
      <c r="D46" s="1">
        <v>0</v>
      </c>
      <c r="E46" s="1">
        <v>74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0.2120765894651413</v>
      </c>
      <c r="C47" s="1">
        <v>72</v>
      </c>
      <c r="D47" s="1">
        <v>0</v>
      </c>
      <c r="E47" s="1">
        <v>44</v>
      </c>
      <c r="F47" s="1">
        <v>28</v>
      </c>
      <c r="G47" s="1">
        <v>0</v>
      </c>
      <c r="H47" s="1">
        <v>0</v>
      </c>
    </row>
    <row r="48" spans="1:8">
      <c r="A48" s="1" t="s">
        <v>48</v>
      </c>
      <c r="B48" s="2">
        <v>0.2120765894651413</v>
      </c>
      <c r="C48" s="1">
        <v>72</v>
      </c>
      <c r="D48" s="1">
        <v>0</v>
      </c>
      <c r="E48" s="1">
        <v>72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0.1767304837703705</v>
      </c>
      <c r="C49" s="1">
        <v>60</v>
      </c>
      <c r="D49" s="1">
        <v>0</v>
      </c>
      <c r="E49" s="1">
        <v>60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0.1649484485387802</v>
      </c>
      <c r="C50" s="1">
        <v>56</v>
      </c>
      <c r="D50" s="1">
        <v>0</v>
      </c>
      <c r="E50" s="1">
        <v>56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0.1413843929767609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0.1413843929767609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0.1413843929767609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11</v>
      </c>
      <c r="B54" s="2">
        <v>0.1354933679103851</v>
      </c>
      <c r="C54" s="1">
        <v>46</v>
      </c>
      <c r="D54" s="1">
        <v>4</v>
      </c>
      <c r="E54" s="1">
        <v>18</v>
      </c>
      <c r="F54" s="1">
        <v>24</v>
      </c>
      <c r="G54" s="1">
        <v>4</v>
      </c>
      <c r="H54" s="1">
        <v>0</v>
      </c>
    </row>
    <row r="55" spans="1:8">
      <c r="A55" s="1" t="s">
        <v>54</v>
      </c>
      <c r="B55" s="2">
        <v>0.1296023577451706</v>
      </c>
      <c r="C55" s="1">
        <v>44</v>
      </c>
      <c r="D55" s="1">
        <v>0</v>
      </c>
      <c r="E55" s="1">
        <v>44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0.1296023577451706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0.1178203225135803</v>
      </c>
      <c r="C57" s="1">
        <v>40</v>
      </c>
      <c r="D57" s="1">
        <v>0</v>
      </c>
      <c r="E57" s="1">
        <v>40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0.1060382947325707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0.1001472771167755</v>
      </c>
      <c r="C59" s="1">
        <v>34</v>
      </c>
      <c r="D59" s="1">
        <v>0</v>
      </c>
      <c r="E59" s="1">
        <v>34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0.1001472771167755</v>
      </c>
      <c r="C60" s="1">
        <v>34</v>
      </c>
      <c r="D60" s="1">
        <v>0</v>
      </c>
      <c r="E60" s="1">
        <v>34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0.08247422426939011</v>
      </c>
      <c r="C61" s="1">
        <v>28</v>
      </c>
      <c r="D61" s="1">
        <v>0</v>
      </c>
      <c r="E61" s="1">
        <v>28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0.08247422426939011</v>
      </c>
      <c r="C62" s="1">
        <v>28</v>
      </c>
      <c r="D62" s="1">
        <v>0</v>
      </c>
      <c r="E62" s="1">
        <v>28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0.07658321410417557</v>
      </c>
      <c r="C63" s="1">
        <v>26</v>
      </c>
      <c r="D63" s="1">
        <v>0</v>
      </c>
      <c r="E63" s="1">
        <v>26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0.07658321410417557</v>
      </c>
      <c r="C64" s="1">
        <v>26</v>
      </c>
      <c r="D64" s="1">
        <v>0</v>
      </c>
      <c r="E64" s="1">
        <v>26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0.05301914736628532</v>
      </c>
      <c r="C65" s="1">
        <v>18</v>
      </c>
      <c r="D65" s="1">
        <v>0</v>
      </c>
      <c r="E65" s="1">
        <v>18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0.04712812975049019</v>
      </c>
      <c r="C66" s="1">
        <v>16</v>
      </c>
      <c r="D66" s="1">
        <v>0</v>
      </c>
      <c r="E66" s="1">
        <v>16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0.04712812975049019</v>
      </c>
      <c r="C67" s="1">
        <v>16</v>
      </c>
      <c r="D67" s="1">
        <v>0</v>
      </c>
      <c r="E67" s="1">
        <v>16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0.04123711213469505</v>
      </c>
      <c r="C68" s="1">
        <v>14</v>
      </c>
      <c r="D68" s="1">
        <v>0</v>
      </c>
      <c r="E68" s="1">
        <v>14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0.03534609824419022</v>
      </c>
      <c r="C69" s="1">
        <v>12</v>
      </c>
      <c r="D69" s="1">
        <v>0</v>
      </c>
      <c r="E69" s="1">
        <v>12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0.03534609824419022</v>
      </c>
      <c r="C70" s="1">
        <v>12</v>
      </c>
      <c r="D70" s="1">
        <v>0</v>
      </c>
      <c r="E70" s="1">
        <v>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0.02945508062839508</v>
      </c>
      <c r="C71" s="1">
        <v>10</v>
      </c>
      <c r="D71" s="1">
        <v>0</v>
      </c>
      <c r="E71" s="1">
        <v>10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0.02945508062839508</v>
      </c>
      <c r="C72" s="1">
        <v>10</v>
      </c>
      <c r="D72" s="1">
        <v>0</v>
      </c>
      <c r="E72" s="1">
        <v>10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0.02945508062839508</v>
      </c>
      <c r="C73" s="1">
        <v>10</v>
      </c>
      <c r="D73" s="1">
        <v>0</v>
      </c>
      <c r="E73" s="1">
        <v>10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0.02356406487524509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8</v>
      </c>
      <c r="B75" s="2">
        <v>0.02356406487524509</v>
      </c>
      <c r="C75" s="1">
        <v>8</v>
      </c>
      <c r="D75" s="1">
        <v>96</v>
      </c>
      <c r="E75" s="1">
        <v>8</v>
      </c>
      <c r="F75" s="1">
        <v>0</v>
      </c>
      <c r="G75" s="1">
        <v>0</v>
      </c>
      <c r="H75" s="1">
        <v>96</v>
      </c>
    </row>
    <row r="76" spans="1:8">
      <c r="A76" s="1" t="s">
        <v>74</v>
      </c>
      <c r="B76" s="2">
        <v>0.02356406487524509</v>
      </c>
      <c r="C76" s="1">
        <v>8</v>
      </c>
      <c r="D76" s="1">
        <v>0</v>
      </c>
      <c r="E76" s="1">
        <v>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0.01767304912209511</v>
      </c>
      <c r="C77" s="1">
        <v>6</v>
      </c>
      <c r="D77" s="1">
        <v>0</v>
      </c>
      <c r="E77" s="1">
        <v>6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0.01767304912209511</v>
      </c>
      <c r="C78" s="1">
        <v>6</v>
      </c>
      <c r="D78" s="1">
        <v>0</v>
      </c>
      <c r="E78" s="1">
        <v>6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0.01767304912209511</v>
      </c>
      <c r="C79" s="1">
        <v>6</v>
      </c>
      <c r="D79" s="1">
        <v>0</v>
      </c>
      <c r="E79" s="1">
        <v>6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0.01767304912209511</v>
      </c>
      <c r="C80" s="1">
        <v>6</v>
      </c>
      <c r="D80" s="1">
        <v>0</v>
      </c>
      <c r="E80" s="1">
        <v>6</v>
      </c>
      <c r="F80" s="1">
        <v>0</v>
      </c>
      <c r="G80" s="1">
        <v>0</v>
      </c>
      <c r="H80" s="1">
        <v>0</v>
      </c>
    </row>
    <row r="81" spans="1:8">
      <c r="A81" s="1" t="s">
        <v>79</v>
      </c>
      <c r="B81" s="2">
        <v>0.01767304912209511</v>
      </c>
      <c r="C81" s="1">
        <v>6</v>
      </c>
      <c r="D81" s="1">
        <v>0</v>
      </c>
      <c r="E81" s="1">
        <v>6</v>
      </c>
      <c r="F81" s="1">
        <v>0</v>
      </c>
      <c r="G81" s="1">
        <v>0</v>
      </c>
      <c r="H81" s="1">
        <v>0</v>
      </c>
    </row>
    <row r="82" spans="1:8">
      <c r="A82" s="1" t="s">
        <v>80</v>
      </c>
      <c r="B82" s="2">
        <v>0.01767304912209511</v>
      </c>
      <c r="C82" s="1">
        <v>6</v>
      </c>
      <c r="D82" s="1">
        <v>0</v>
      </c>
      <c r="E82" s="1">
        <v>6</v>
      </c>
      <c r="F82" s="1">
        <v>0</v>
      </c>
      <c r="G82" s="1">
        <v>0</v>
      </c>
      <c r="H82" s="1">
        <v>0</v>
      </c>
    </row>
    <row r="83" spans="1:8">
      <c r="A83" s="1" t="s">
        <v>81</v>
      </c>
      <c r="B83" s="2">
        <v>0.01767304912209511</v>
      </c>
      <c r="C83" s="1">
        <v>6</v>
      </c>
      <c r="D83" s="1">
        <v>0</v>
      </c>
      <c r="E83" s="1">
        <v>6</v>
      </c>
      <c r="F83" s="1">
        <v>0</v>
      </c>
      <c r="G83" s="1">
        <v>0</v>
      </c>
      <c r="H83" s="1">
        <v>0</v>
      </c>
    </row>
    <row r="84" spans="1:8">
      <c r="A84" s="1" t="s">
        <v>82</v>
      </c>
      <c r="B84" s="2">
        <v>0.01767304912209511</v>
      </c>
      <c r="C84" s="1">
        <v>6</v>
      </c>
      <c r="D84" s="1">
        <v>0</v>
      </c>
      <c r="E84" s="1">
        <v>6</v>
      </c>
      <c r="F84" s="1">
        <v>0</v>
      </c>
      <c r="G84" s="1">
        <v>0</v>
      </c>
      <c r="H84" s="1">
        <v>0</v>
      </c>
    </row>
    <row r="85" spans="1:8">
      <c r="A85" s="1" t="s">
        <v>83</v>
      </c>
      <c r="B85" s="2">
        <v>0.01767304912209511</v>
      </c>
      <c r="C85" s="1">
        <v>6</v>
      </c>
      <c r="D85" s="1">
        <v>0</v>
      </c>
      <c r="E85" s="1">
        <v>6</v>
      </c>
      <c r="F85" s="1">
        <v>0</v>
      </c>
      <c r="G85" s="1">
        <v>0</v>
      </c>
      <c r="H85" s="1">
        <v>0</v>
      </c>
    </row>
    <row r="86" spans="1:8">
      <c r="A86" s="1" t="s">
        <v>84</v>
      </c>
      <c r="B86" s="2">
        <v>0.01767304912209511</v>
      </c>
      <c r="C86" s="1">
        <v>6</v>
      </c>
      <c r="D86" s="1">
        <v>0</v>
      </c>
      <c r="E86" s="1">
        <v>6</v>
      </c>
      <c r="F86" s="1">
        <v>0</v>
      </c>
      <c r="G86" s="1">
        <v>0</v>
      </c>
      <c r="H86" s="1">
        <v>0</v>
      </c>
    </row>
    <row r="87" spans="1:8">
      <c r="A87" s="1" t="s">
        <v>85</v>
      </c>
      <c r="B87" s="2">
        <v>0.01767304912209511</v>
      </c>
      <c r="C87" s="1">
        <v>6</v>
      </c>
      <c r="D87" s="1">
        <v>0</v>
      </c>
      <c r="E87" s="1">
        <v>6</v>
      </c>
      <c r="F87" s="1">
        <v>0</v>
      </c>
      <c r="G87" s="1">
        <v>0</v>
      </c>
      <c r="H87" s="1">
        <v>0</v>
      </c>
    </row>
    <row r="88" spans="1:8">
      <c r="A88" s="1" t="s">
        <v>86</v>
      </c>
      <c r="B88" s="2">
        <v>0.01767304912209511</v>
      </c>
      <c r="C88" s="1">
        <v>6</v>
      </c>
      <c r="D88" s="1">
        <v>0</v>
      </c>
      <c r="E88" s="1">
        <v>6</v>
      </c>
      <c r="F88" s="1">
        <v>0</v>
      </c>
      <c r="G88" s="1">
        <v>0</v>
      </c>
      <c r="H88" s="1">
        <v>0</v>
      </c>
    </row>
    <row r="89" spans="1:8">
      <c r="A89" s="1" t="s">
        <v>87</v>
      </c>
      <c r="B89" s="2">
        <v>0.01767304912209511</v>
      </c>
      <c r="C89" s="1">
        <v>6</v>
      </c>
      <c r="D89" s="1">
        <v>0</v>
      </c>
      <c r="E89" s="1">
        <v>6</v>
      </c>
      <c r="F89" s="1">
        <v>0</v>
      </c>
      <c r="G89" s="1">
        <v>0</v>
      </c>
      <c r="H89" s="1">
        <v>0</v>
      </c>
    </row>
    <row r="90" spans="1:8">
      <c r="A90" s="1" t="s">
        <v>88</v>
      </c>
      <c r="B90" s="2">
        <v>0.01767304912209511</v>
      </c>
      <c r="C90" s="1">
        <v>6</v>
      </c>
      <c r="D90" s="1">
        <v>0</v>
      </c>
      <c r="E90" s="1">
        <v>6</v>
      </c>
      <c r="F90" s="1">
        <v>0</v>
      </c>
      <c r="G90" s="1">
        <v>0</v>
      </c>
      <c r="H90" s="1">
        <v>0</v>
      </c>
    </row>
    <row r="91" spans="1:8">
      <c r="A91" s="1" t="s">
        <v>89</v>
      </c>
      <c r="B91" s="2">
        <v>0.01767304912209511</v>
      </c>
      <c r="C91" s="1">
        <v>6</v>
      </c>
      <c r="D91" s="1">
        <v>0</v>
      </c>
      <c r="E91" s="1">
        <v>6</v>
      </c>
      <c r="F91" s="1">
        <v>0</v>
      </c>
      <c r="G91" s="1">
        <v>0</v>
      </c>
      <c r="H91" s="1">
        <v>0</v>
      </c>
    </row>
    <row r="92" spans="1:8">
      <c r="A92" s="1" t="s">
        <v>90</v>
      </c>
      <c r="B92" s="2">
        <v>0.01767304912209511</v>
      </c>
      <c r="C92" s="1">
        <v>6</v>
      </c>
      <c r="D92" s="1">
        <v>0</v>
      </c>
      <c r="E92" s="1">
        <v>6</v>
      </c>
      <c r="F92" s="1">
        <v>0</v>
      </c>
      <c r="G92" s="1">
        <v>0</v>
      </c>
      <c r="H92" s="1">
        <v>0</v>
      </c>
    </row>
    <row r="93" spans="1:8">
      <c r="A93" s="1" t="s">
        <v>91</v>
      </c>
      <c r="B93" s="2">
        <v>0.01767304912209511</v>
      </c>
      <c r="C93" s="1">
        <v>6</v>
      </c>
      <c r="D93" s="1">
        <v>0</v>
      </c>
      <c r="E93" s="1">
        <v>6</v>
      </c>
      <c r="F93" s="1">
        <v>0</v>
      </c>
      <c r="G93" s="1">
        <v>0</v>
      </c>
      <c r="H93" s="1">
        <v>0</v>
      </c>
    </row>
    <row r="94" spans="1:8">
      <c r="A94" s="1" t="s">
        <v>92</v>
      </c>
      <c r="B94" s="2">
        <v>0.01767304912209511</v>
      </c>
      <c r="C94" s="1">
        <v>6</v>
      </c>
      <c r="D94" s="1">
        <v>0</v>
      </c>
      <c r="E94" s="1">
        <v>6</v>
      </c>
      <c r="F94" s="1">
        <v>0</v>
      </c>
      <c r="G94" s="1">
        <v>0</v>
      </c>
      <c r="H94" s="1">
        <v>0</v>
      </c>
    </row>
    <row r="95" spans="1:8">
      <c r="A95" s="1" t="s">
        <v>93</v>
      </c>
      <c r="B95" s="2">
        <v>0.01767304912209511</v>
      </c>
      <c r="C95" s="1">
        <v>6</v>
      </c>
      <c r="D95" s="1">
        <v>0</v>
      </c>
      <c r="E95" s="1">
        <v>6</v>
      </c>
      <c r="F95" s="1">
        <v>0</v>
      </c>
      <c r="G95" s="1">
        <v>0</v>
      </c>
      <c r="H95" s="1">
        <v>0</v>
      </c>
    </row>
    <row r="96" spans="1:8">
      <c r="A96" s="1" t="s">
        <v>94</v>
      </c>
      <c r="B96" s="2">
        <v>0.01767304912209511</v>
      </c>
      <c r="C96" s="1">
        <v>6</v>
      </c>
      <c r="D96" s="1">
        <v>0</v>
      </c>
      <c r="E96" s="1">
        <v>6</v>
      </c>
      <c r="F96" s="1">
        <v>0</v>
      </c>
      <c r="G96" s="1">
        <v>0</v>
      </c>
      <c r="H96" s="1">
        <v>0</v>
      </c>
    </row>
    <row r="97" spans="1:8">
      <c r="A97" s="1" t="s">
        <v>95</v>
      </c>
      <c r="B97" s="2">
        <v>0.01767304912209511</v>
      </c>
      <c r="C97" s="1">
        <v>6</v>
      </c>
      <c r="D97" s="1">
        <v>0</v>
      </c>
      <c r="E97" s="1">
        <v>6</v>
      </c>
      <c r="F97" s="1">
        <v>0</v>
      </c>
      <c r="G97" s="1">
        <v>0</v>
      </c>
      <c r="H97" s="1">
        <v>0</v>
      </c>
    </row>
    <row r="98" spans="1:8">
      <c r="A98" s="1" t="s">
        <v>96</v>
      </c>
      <c r="B98" s="2">
        <v>0.01767304912209511</v>
      </c>
      <c r="C98" s="1">
        <v>6</v>
      </c>
      <c r="D98" s="1">
        <v>0</v>
      </c>
      <c r="E98" s="1">
        <v>6</v>
      </c>
      <c r="F98" s="1">
        <v>0</v>
      </c>
      <c r="G98" s="1">
        <v>0</v>
      </c>
      <c r="H98" s="1">
        <v>0</v>
      </c>
    </row>
    <row r="99" spans="1:8">
      <c r="A99" s="1" t="s">
        <v>97</v>
      </c>
      <c r="B99" s="2">
        <v>0.01178203243762255</v>
      </c>
      <c r="C99" s="1">
        <v>4</v>
      </c>
      <c r="D99" s="1">
        <v>0</v>
      </c>
      <c r="E99" s="1">
        <v>4</v>
      </c>
      <c r="F99" s="1">
        <v>0</v>
      </c>
      <c r="G99" s="1">
        <v>0</v>
      </c>
      <c r="H99" s="1">
        <v>0</v>
      </c>
    </row>
    <row r="100" spans="1:8">
      <c r="A100" s="1" t="s">
        <v>98</v>
      </c>
      <c r="B100" s="2">
        <v>0.01178203243762255</v>
      </c>
      <c r="C100" s="1">
        <v>4</v>
      </c>
      <c r="D100" s="1">
        <v>0</v>
      </c>
      <c r="E100" s="1">
        <v>4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0.01178203243762255</v>
      </c>
      <c r="C101" s="1">
        <v>4</v>
      </c>
      <c r="D101" s="1">
        <v>0</v>
      </c>
      <c r="E101" s="1">
        <v>4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0.01178203243762255</v>
      </c>
      <c r="C102" s="1">
        <v>4</v>
      </c>
      <c r="D102" s="1">
        <v>0</v>
      </c>
      <c r="E102" s="1">
        <v>4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0.005891016218811274</v>
      </c>
      <c r="C103" s="1">
        <v>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0.005891016218811274</v>
      </c>
      <c r="C104" s="1">
        <v>2</v>
      </c>
      <c r="D104" s="1">
        <v>0</v>
      </c>
      <c r="E104" s="1">
        <v>2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0.005891016218811274</v>
      </c>
      <c r="C105" s="1">
        <v>2</v>
      </c>
      <c r="D105" s="1">
        <v>0</v>
      </c>
      <c r="E105" s="1">
        <v>2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0.005891016218811274</v>
      </c>
      <c r="C106" s="1">
        <v>2</v>
      </c>
      <c r="D106" s="1">
        <v>0</v>
      </c>
      <c r="E106" s="1">
        <v>2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0.005891016218811274</v>
      </c>
      <c r="C107" s="1">
        <v>2</v>
      </c>
      <c r="D107" s="1">
        <v>0</v>
      </c>
      <c r="E107" s="1">
        <v>2</v>
      </c>
      <c r="F107" s="1">
        <v>0</v>
      </c>
      <c r="G107" s="1">
        <v>0</v>
      </c>
      <c r="H107" s="1">
        <v>0</v>
      </c>
    </row>
    <row r="108" spans="1:8">
      <c r="A108" t="s">
        <v>107</v>
      </c>
      <c r="B108">
        <f>SUBTOTAL(109,[flash_percent])</f>
        <v>0</v>
      </c>
      <c r="C108">
        <f>SUBTOTAL(109,[flash])</f>
        <v>0</v>
      </c>
      <c r="D108">
        <f>SUBTOTAL(109,[ram])</f>
        <v>0</v>
      </c>
      <c r="E108">
        <f>SUBTOTAL(109,[Code])</f>
        <v>0</v>
      </c>
      <c r="F108">
        <f>SUBTOTAL(109,[RO_data])</f>
        <v>0</v>
      </c>
      <c r="G108">
        <f>SUBTOTAL(109,[RW_data])</f>
        <v>0</v>
      </c>
      <c r="H10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2025-09-01T02:03:08Z</dcterms:created>
  <dcterms:modified xsi:type="dcterms:W3CDTF">2025-09-01T02:03:08Z</dcterms:modified>
</cp:coreProperties>
</file>